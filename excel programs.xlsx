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AMER.exe\Downloads\"/>
    </mc:Choice>
  </mc:AlternateContent>
  <xr:revisionPtr revIDLastSave="0" documentId="13_ncr:1_{1EDF4F5C-20D4-46CC-B702-A330D2C8B2D1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_xlnm._FilterDatabase" localSheetId="1" hidden="1">Sheet2!$A$12:$A$19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8" l="1"/>
  <c r="J3" i="8"/>
  <c r="C5" i="8"/>
  <c r="B4" i="8"/>
  <c r="K6" i="7"/>
  <c r="F2" i="4"/>
  <c r="K7" i="7"/>
  <c r="K5" i="7"/>
  <c r="K4" i="7"/>
  <c r="K3" i="7"/>
  <c r="K2" i="7"/>
  <c r="J2" i="7" a="1"/>
  <c r="J2" i="7" s="1"/>
  <c r="I2" i="7" a="1"/>
  <c r="I2" i="7" s="1"/>
  <c r="G2" i="7"/>
  <c r="H2" i="7"/>
  <c r="E2" i="7"/>
  <c r="F2" i="7"/>
  <c r="I2" i="6"/>
  <c r="I3" i="6"/>
  <c r="I4" i="6"/>
  <c r="I5" i="6"/>
  <c r="I6" i="6"/>
  <c r="H3" i="6"/>
  <c r="H4" i="6"/>
  <c r="H5" i="6"/>
  <c r="H6" i="6"/>
  <c r="H2" i="6"/>
  <c r="G3" i="6"/>
  <c r="G4" i="6"/>
  <c r="G5" i="6"/>
  <c r="G6" i="6"/>
  <c r="G2" i="6"/>
  <c r="F3" i="6"/>
  <c r="F4" i="6"/>
  <c r="F5" i="6"/>
  <c r="F6" i="6"/>
  <c r="F2" i="6"/>
  <c r="E2" i="6"/>
  <c r="D2" i="6"/>
  <c r="H2" i="4"/>
  <c r="G2" i="4"/>
  <c r="B6" i="5" l="1"/>
  <c r="E2" i="4" l="1"/>
  <c r="H2" i="3"/>
  <c r="D2" i="3"/>
  <c r="J3" i="3"/>
  <c r="J4" i="3"/>
  <c r="J5" i="3"/>
  <c r="J6" i="3"/>
  <c r="J7" i="3"/>
  <c r="J2" i="3"/>
  <c r="I3" i="3"/>
  <c r="I4" i="3"/>
  <c r="I5" i="3"/>
  <c r="I6" i="3"/>
  <c r="I7" i="3"/>
  <c r="I2" i="3"/>
  <c r="H3" i="3"/>
  <c r="H4" i="3"/>
  <c r="H5" i="3"/>
  <c r="H6" i="3"/>
  <c r="H7" i="3"/>
  <c r="G2" i="3"/>
  <c r="G3" i="3"/>
  <c r="G4" i="3"/>
  <c r="G5" i="3"/>
  <c r="G6" i="3"/>
  <c r="G7" i="3"/>
  <c r="F3" i="3"/>
  <c r="F4" i="3"/>
  <c r="F5" i="3"/>
  <c r="F6" i="3"/>
  <c r="F7" i="3"/>
  <c r="F2" i="3"/>
  <c r="E3" i="3"/>
  <c r="E4" i="3"/>
  <c r="E5" i="3"/>
  <c r="E6" i="3"/>
  <c r="E7" i="3"/>
  <c r="E2" i="3"/>
  <c r="D3" i="3"/>
  <c r="D4" i="3"/>
  <c r="D5" i="3"/>
  <c r="D6" i="3"/>
  <c r="D7" i="3"/>
  <c r="J2" i="2"/>
  <c r="I2" i="2"/>
  <c r="H2" i="2"/>
  <c r="G3" i="2"/>
  <c r="G4" i="2"/>
  <c r="G5" i="2"/>
  <c r="G6" i="2"/>
  <c r="G7" i="2"/>
  <c r="G8" i="2"/>
  <c r="G9" i="2"/>
  <c r="G2" i="2"/>
  <c r="F2" i="2"/>
  <c r="E2" i="2"/>
  <c r="G3" i="1"/>
  <c r="G4" i="1"/>
  <c r="G5" i="1"/>
  <c r="G2" i="1"/>
  <c r="F2" i="1"/>
  <c r="E2" i="1"/>
  <c r="D2" i="1"/>
  <c r="C3" i="1"/>
  <c r="C4" i="1"/>
  <c r="C5" i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<sst xmlns="http://schemas.openxmlformats.org/spreadsheetml/2006/main" count="200" uniqueCount="114">
  <si>
    <t>Name</t>
  </si>
  <si>
    <t>Score</t>
  </si>
  <si>
    <t>John</t>
  </si>
  <si>
    <t xml:space="preserve">Emily </t>
  </si>
  <si>
    <t xml:space="preserve">Mike </t>
  </si>
  <si>
    <t>Sarah</t>
  </si>
  <si>
    <t>Result</t>
  </si>
  <si>
    <t>No of Student with score &gt; 50</t>
  </si>
  <si>
    <t>Sum of Students with Score &gt; 50</t>
  </si>
  <si>
    <t>Avg Score</t>
  </si>
  <si>
    <t xml:space="preserve">Concat </t>
  </si>
  <si>
    <t>Employee</t>
  </si>
  <si>
    <t>Mike</t>
  </si>
  <si>
    <t>Region</t>
  </si>
  <si>
    <t>North</t>
  </si>
  <si>
    <t>South</t>
  </si>
  <si>
    <t>East</t>
  </si>
  <si>
    <t xml:space="preserve">Sales </t>
  </si>
  <si>
    <t>Quarter</t>
  </si>
  <si>
    <t>Q1</t>
  </si>
  <si>
    <t>Q2</t>
  </si>
  <si>
    <t>Q3</t>
  </si>
  <si>
    <t>Index</t>
  </si>
  <si>
    <t>Match</t>
  </si>
  <si>
    <t>Unique</t>
  </si>
  <si>
    <t xml:space="preserve">Category </t>
  </si>
  <si>
    <t>no. of employees with 6000 sales</t>
  </si>
  <si>
    <t>Sum of sales done by john</t>
  </si>
  <si>
    <t>Avg sales done by John</t>
  </si>
  <si>
    <t xml:space="preserve">Full Name </t>
  </si>
  <si>
    <t>Department</t>
  </si>
  <si>
    <t>Employee Id</t>
  </si>
  <si>
    <t>John Smith</t>
  </si>
  <si>
    <t>HR</t>
  </si>
  <si>
    <t>HR-001</t>
  </si>
  <si>
    <t>Sarah johnson</t>
  </si>
  <si>
    <t>IT</t>
  </si>
  <si>
    <t>IT-002</t>
  </si>
  <si>
    <t xml:space="preserve">Michael Brown </t>
  </si>
  <si>
    <t xml:space="preserve">Finance </t>
  </si>
  <si>
    <t>FN-003</t>
  </si>
  <si>
    <t>Rachel Green</t>
  </si>
  <si>
    <t xml:space="preserve">Marketing </t>
  </si>
  <si>
    <t>MK-004</t>
  </si>
  <si>
    <t xml:space="preserve">David Miller </t>
  </si>
  <si>
    <t>IT-005</t>
  </si>
  <si>
    <t xml:space="preserve">Emily Davis </t>
  </si>
  <si>
    <t>HR-006</t>
  </si>
  <si>
    <t>Left</t>
  </si>
  <si>
    <t>Mid</t>
  </si>
  <si>
    <t xml:space="preserve">Right </t>
  </si>
  <si>
    <t xml:space="preserve">Full name leght </t>
  </si>
  <si>
    <t>Full name hyphenated</t>
  </si>
  <si>
    <t>First Space Position</t>
  </si>
  <si>
    <t>Contains "1"</t>
  </si>
  <si>
    <t>Product ID</t>
  </si>
  <si>
    <t xml:space="preserve">Product Name </t>
  </si>
  <si>
    <t>Price</t>
  </si>
  <si>
    <t>P002</t>
  </si>
  <si>
    <t>P001</t>
  </si>
  <si>
    <t>P003</t>
  </si>
  <si>
    <t>P004</t>
  </si>
  <si>
    <t>P005</t>
  </si>
  <si>
    <t>P006</t>
  </si>
  <si>
    <t>Laptop</t>
  </si>
  <si>
    <t>Mouse</t>
  </si>
  <si>
    <t>Desk</t>
  </si>
  <si>
    <t>Chair</t>
  </si>
  <si>
    <t>Monitor</t>
  </si>
  <si>
    <t>Lamp</t>
  </si>
  <si>
    <t xml:space="preserve">Electronics </t>
  </si>
  <si>
    <t>Furniture</t>
  </si>
  <si>
    <t>Vlookup</t>
  </si>
  <si>
    <t>Hlookup</t>
  </si>
  <si>
    <t>xlookup</t>
  </si>
  <si>
    <t>Count</t>
  </si>
  <si>
    <t>CountA</t>
  </si>
  <si>
    <t>Project ID</t>
  </si>
  <si>
    <t>StartDate</t>
  </si>
  <si>
    <t>End Date</t>
  </si>
  <si>
    <t>PRJ001</t>
  </si>
  <si>
    <t>PRJ002</t>
  </si>
  <si>
    <t>PRJ003</t>
  </si>
  <si>
    <t>PRJ004</t>
  </si>
  <si>
    <t>PRJ005</t>
  </si>
  <si>
    <t>Today</t>
  </si>
  <si>
    <t>now</t>
  </si>
  <si>
    <t>year</t>
  </si>
  <si>
    <t>month</t>
  </si>
  <si>
    <t>Working days</t>
  </si>
  <si>
    <t>End of Month</t>
  </si>
  <si>
    <t>Product Name</t>
  </si>
  <si>
    <t>Sales</t>
  </si>
  <si>
    <t>Profit</t>
  </si>
  <si>
    <t xml:space="preserve">Mouse </t>
  </si>
  <si>
    <t xml:space="preserve">Monitor </t>
  </si>
  <si>
    <t>Keyboard</t>
  </si>
  <si>
    <t>offset</t>
  </si>
  <si>
    <t>Choose</t>
  </si>
  <si>
    <t>Let</t>
  </si>
  <si>
    <t>Max</t>
  </si>
  <si>
    <t>sort</t>
  </si>
  <si>
    <t>sortby</t>
  </si>
  <si>
    <t>sales rank</t>
  </si>
  <si>
    <t>oty</t>
  </si>
  <si>
    <t>price</t>
  </si>
  <si>
    <t>margin</t>
  </si>
  <si>
    <t>totoal</t>
  </si>
  <si>
    <t>qty</t>
  </si>
  <si>
    <t>total</t>
  </si>
  <si>
    <t>princile</t>
  </si>
  <si>
    <t>rate '</t>
  </si>
  <si>
    <t>time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</si>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</sst>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2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H1" sqref="H1"/>
    </sheetView>
  </sheetViews>
  <sheetFormatPr defaultRowHeight="15" x14ac:dyDescent="0.25"/>
  <cols>
    <col min="4" max="4" width="27.28515625" bestFit="1" customWidth="1"/>
    <col min="5" max="5" width="29.7109375" bestFit="1" customWidth="1"/>
    <col min="6" max="6" width="9.5703125" bestFit="1" customWidth="1"/>
  </cols>
  <sheetData>
    <row r="1" spans="1:7" x14ac:dyDescent="0.2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2</v>
      </c>
      <c r="B2">
        <v>45</v>
      </c>
      <c r="C2" t="str">
        <f>IF(B2&gt;=50,"Pass","Fail")</f>
        <v>Fail</v>
      </c>
      <c r="D2">
        <f>COUNTIF(B2:B5,"&gt;50")</f>
        <v>2</v>
      </c>
      <c r="E2">
        <f>SUMIF(B2:B5,"&gt;50",B2:B5)</f>
        <v>120</v>
      </c>
      <c r="F2">
        <f>AVERAGE(B2:B5)</f>
        <v>50</v>
      </c>
      <c r="G2" t="str">
        <f>CONCATENATE(A2," - ",B2)</f>
        <v>John - 45</v>
      </c>
    </row>
    <row r="3" spans="1:7" x14ac:dyDescent="0.25">
      <c r="A3" t="s">
        <v>3</v>
      </c>
      <c r="B3">
        <v>65</v>
      </c>
      <c r="C3" t="str">
        <f t="shared" ref="C3:C5" si="0">IF(B3&gt;=50,"Pass","Fail")</f>
        <v>Pass</v>
      </c>
      <c r="G3" t="str">
        <f t="shared" ref="G3:G5" si="1">CONCATENATE(A3," - ",B3)</f>
        <v>Emily  - 65</v>
      </c>
    </row>
    <row r="4" spans="1:7" x14ac:dyDescent="0.25">
      <c r="A4" t="s">
        <v>4</v>
      </c>
      <c r="B4">
        <v>55</v>
      </c>
      <c r="C4" t="str">
        <f t="shared" si="0"/>
        <v>Pass</v>
      </c>
      <c r="G4" t="str">
        <f t="shared" si="1"/>
        <v>Mike  - 55</v>
      </c>
    </row>
    <row r="5" spans="1:7" x14ac:dyDescent="0.25">
      <c r="A5" t="s">
        <v>5</v>
      </c>
      <c r="B5">
        <v>35</v>
      </c>
      <c r="C5" t="str">
        <f t="shared" si="0"/>
        <v>Fail</v>
      </c>
      <c r="G5" t="str">
        <f t="shared" si="1"/>
        <v>Sarah - 35</v>
      </c>
    </row>
  </sheetData>
  <conditionalFormatting sqref="B2:B5">
    <cfRule type="expression" dxfId="0" priority="1">
      <formula>B2&gt;50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19"/>
  <sheetViews>
    <sheetView workbookViewId="0">
      <selection activeCell="F14" sqref="F14"/>
    </sheetView>
  </sheetViews>
  <sheetFormatPr defaultRowHeight="15" x14ac:dyDescent="0.25"/>
  <cols>
    <col min="1" max="1" width="9.85546875" bestFit="1" customWidth="1"/>
    <col min="2" max="2" width="7.140625" bestFit="1" customWidth="1"/>
    <col min="8" max="8" width="30.85546875" bestFit="1" customWidth="1"/>
    <col min="9" max="9" width="24.42578125" bestFit="1" customWidth="1"/>
    <col min="10" max="10" width="21.7109375" bestFit="1" customWidth="1"/>
  </cols>
  <sheetData>
    <row r="1" spans="1:10" x14ac:dyDescent="0.25">
      <c r="A1" s="1" t="s">
        <v>11</v>
      </c>
      <c r="B1" s="1" t="s">
        <v>13</v>
      </c>
      <c r="C1" s="1" t="s">
        <v>17</v>
      </c>
      <c r="D1" s="1" t="s">
        <v>18</v>
      </c>
      <c r="E1" s="1" t="s">
        <v>22</v>
      </c>
      <c r="F1" s="1" t="s">
        <v>23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25">
      <c r="A2" t="s">
        <v>2</v>
      </c>
      <c r="B2" t="s">
        <v>14</v>
      </c>
      <c r="C2">
        <v>5000</v>
      </c>
      <c r="D2" t="s">
        <v>19</v>
      </c>
      <c r="E2" t="str">
        <f>INDEX(A2:D9,3,4)</f>
        <v>Q2</v>
      </c>
      <c r="F2">
        <f>MATCH(D4,D2:D9,)</f>
        <v>3</v>
      </c>
      <c r="G2" t="str">
        <f>IF(C2&lt;5000,"low",IF(C2&lt;=7000,"medium","high"))</f>
        <v>medium</v>
      </c>
      <c r="H2">
        <f>COUNTIF(C2:C9,6000)</f>
        <v>2</v>
      </c>
      <c r="I2">
        <f>SUMIFS(C2:C9,A2:A9,"John")</f>
        <v>21000</v>
      </c>
      <c r="J2">
        <f>AVERAGEIFS(C2:C9,A2:A9,"John")</f>
        <v>7000</v>
      </c>
    </row>
    <row r="3" spans="1:10" x14ac:dyDescent="0.25">
      <c r="A3" t="s">
        <v>5</v>
      </c>
      <c r="B3" t="s">
        <v>15</v>
      </c>
      <c r="C3">
        <v>8000</v>
      </c>
      <c r="D3" t="s">
        <v>19</v>
      </c>
      <c r="G3" t="str">
        <f t="shared" ref="G3:G9" si="0">IF(C3&lt;5000,"low",IF(C3&lt;=7000,"medium","high"))</f>
        <v>high</v>
      </c>
    </row>
    <row r="4" spans="1:10" x14ac:dyDescent="0.25">
      <c r="A4" t="s">
        <v>2</v>
      </c>
      <c r="B4" t="s">
        <v>14</v>
      </c>
      <c r="C4">
        <v>7000</v>
      </c>
      <c r="D4" t="s">
        <v>20</v>
      </c>
      <c r="G4" t="str">
        <f t="shared" si="0"/>
        <v>medium</v>
      </c>
    </row>
    <row r="5" spans="1:10" x14ac:dyDescent="0.25">
      <c r="A5" t="s">
        <v>5</v>
      </c>
      <c r="B5" t="s">
        <v>15</v>
      </c>
      <c r="C5">
        <v>6000</v>
      </c>
      <c r="D5" t="s">
        <v>20</v>
      </c>
      <c r="G5" t="str">
        <f t="shared" si="0"/>
        <v>medium</v>
      </c>
    </row>
    <row r="6" spans="1:10" x14ac:dyDescent="0.25">
      <c r="A6" t="s">
        <v>12</v>
      </c>
      <c r="B6" t="s">
        <v>16</v>
      </c>
      <c r="C6">
        <v>4000</v>
      </c>
      <c r="D6" t="s">
        <v>19</v>
      </c>
      <c r="G6" t="str">
        <f t="shared" si="0"/>
        <v>low</v>
      </c>
    </row>
    <row r="7" spans="1:10" x14ac:dyDescent="0.25">
      <c r="A7" t="s">
        <v>2</v>
      </c>
      <c r="B7" t="s">
        <v>14</v>
      </c>
      <c r="C7">
        <v>9000</v>
      </c>
      <c r="D7" t="s">
        <v>21</v>
      </c>
      <c r="G7" t="str">
        <f t="shared" si="0"/>
        <v>high</v>
      </c>
    </row>
    <row r="8" spans="1:10" x14ac:dyDescent="0.25">
      <c r="A8" t="s">
        <v>5</v>
      </c>
      <c r="B8" t="s">
        <v>15</v>
      </c>
      <c r="C8">
        <v>3000</v>
      </c>
      <c r="D8" t="s">
        <v>21</v>
      </c>
      <c r="G8" t="str">
        <f t="shared" si="0"/>
        <v>low</v>
      </c>
    </row>
    <row r="9" spans="1:10" x14ac:dyDescent="0.25">
      <c r="A9" t="s">
        <v>12</v>
      </c>
      <c r="B9" t="s">
        <v>16</v>
      </c>
      <c r="C9">
        <v>6000</v>
      </c>
      <c r="D9" t="s">
        <v>20</v>
      </c>
      <c r="G9" t="str">
        <f t="shared" si="0"/>
        <v>medium</v>
      </c>
    </row>
    <row r="11" spans="1:10" x14ac:dyDescent="0.25">
      <c r="A11" s="1" t="s">
        <v>24</v>
      </c>
    </row>
    <row r="12" spans="1:10" x14ac:dyDescent="0.25">
      <c r="A12" t="s">
        <v>2</v>
      </c>
    </row>
    <row r="13" spans="1:10" x14ac:dyDescent="0.25">
      <c r="A13" t="s">
        <v>5</v>
      </c>
    </row>
    <row r="14" spans="1:10" x14ac:dyDescent="0.25">
      <c r="A14" t="s">
        <v>2</v>
      </c>
    </row>
    <row r="15" spans="1:10" hidden="1" x14ac:dyDescent="0.25">
      <c r="A15" t="s">
        <v>5</v>
      </c>
    </row>
    <row r="16" spans="1:10" x14ac:dyDescent="0.25">
      <c r="A16" t="s">
        <v>12</v>
      </c>
    </row>
    <row r="17" spans="1:1" hidden="1" x14ac:dyDescent="0.25">
      <c r="A17" t="s">
        <v>2</v>
      </c>
    </row>
    <row r="18" spans="1:1" hidden="1" x14ac:dyDescent="0.25">
      <c r="A18" t="s">
        <v>5</v>
      </c>
    </row>
    <row r="19" spans="1:1" hidden="1" x14ac:dyDescent="0.25">
      <c r="A19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>
      <selection activeCell="H10" sqref="H10"/>
    </sheetView>
  </sheetViews>
  <sheetFormatPr defaultRowHeight="15" x14ac:dyDescent="0.25"/>
  <cols>
    <col min="1" max="1" width="14.7109375" bestFit="1" customWidth="1"/>
    <col min="2" max="2" width="11.7109375" bestFit="1" customWidth="1"/>
    <col min="3" max="3" width="12" bestFit="1" customWidth="1"/>
    <col min="7" max="7" width="15.28515625" bestFit="1" customWidth="1"/>
    <col min="8" max="8" width="21.140625" bestFit="1" customWidth="1"/>
    <col min="9" max="9" width="18.42578125" bestFit="1" customWidth="1"/>
    <col min="10" max="10" width="12.140625" bestFit="1" customWidth="1"/>
  </cols>
  <sheetData>
    <row r="1" spans="1:10" x14ac:dyDescent="0.25">
      <c r="A1" s="1" t="s">
        <v>29</v>
      </c>
      <c r="B1" s="1" t="s">
        <v>30</v>
      </c>
      <c r="C1" s="1" t="s">
        <v>31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 x14ac:dyDescent="0.25">
      <c r="A2" t="s">
        <v>32</v>
      </c>
      <c r="B2" t="s">
        <v>33</v>
      </c>
      <c r="C2" t="s">
        <v>34</v>
      </c>
      <c r="D2" t="str">
        <f>LEFT(A2,4)</f>
        <v>John</v>
      </c>
      <c r="E2" t="str">
        <f>MID(B2,1,2)</f>
        <v>HR</v>
      </c>
      <c r="F2" t="str">
        <f>RIGHT(C2,3)</f>
        <v>001</v>
      </c>
      <c r="G2">
        <f>LEN(A2)</f>
        <v>10</v>
      </c>
      <c r="H2" t="str">
        <f>SUBSTITUTE(A2," ","-")</f>
        <v>John-Smith</v>
      </c>
      <c r="I2">
        <f>SEARCH(" ",A2)</f>
        <v>5</v>
      </c>
      <c r="J2" t="b">
        <f>ISNUMBER(SEARCH("1",C2))</f>
        <v>1</v>
      </c>
    </row>
    <row r="3" spans="1:10" x14ac:dyDescent="0.25">
      <c r="A3" t="s">
        <v>35</v>
      </c>
      <c r="B3" t="s">
        <v>36</v>
      </c>
      <c r="C3" t="s">
        <v>37</v>
      </c>
      <c r="D3" t="str">
        <f t="shared" ref="D3:D7" si="0">LEFT(A3,4)</f>
        <v>Sara</v>
      </c>
      <c r="E3" t="str">
        <f t="shared" ref="E3:E7" si="1">MID(B3,1,2)</f>
        <v>IT</v>
      </c>
      <c r="F3" t="str">
        <f t="shared" ref="F3:F7" si="2">RIGHT(C3,3)</f>
        <v>002</v>
      </c>
      <c r="G3">
        <f t="shared" ref="G3:G7" si="3">LEN(A3)</f>
        <v>13</v>
      </c>
      <c r="H3" t="str">
        <f t="shared" ref="H3:H7" si="4">SUBSTITUTE(A3," ","-")</f>
        <v>Sarah-johnson</v>
      </c>
      <c r="I3">
        <f t="shared" ref="I3:I7" si="5">SEARCH(" ",A3)</f>
        <v>6</v>
      </c>
      <c r="J3" t="b">
        <f t="shared" ref="J3:J7" si="6">ISNUMBER(SEARCH("1",C3))</f>
        <v>0</v>
      </c>
    </row>
    <row r="4" spans="1:10" x14ac:dyDescent="0.25">
      <c r="A4" t="s">
        <v>38</v>
      </c>
      <c r="B4" t="s">
        <v>39</v>
      </c>
      <c r="C4" t="s">
        <v>40</v>
      </c>
      <c r="D4" t="str">
        <f t="shared" si="0"/>
        <v>Mich</v>
      </c>
      <c r="E4" t="str">
        <f t="shared" si="1"/>
        <v>Fi</v>
      </c>
      <c r="F4" t="str">
        <f t="shared" si="2"/>
        <v>003</v>
      </c>
      <c r="G4">
        <f t="shared" si="3"/>
        <v>14</v>
      </c>
      <c r="H4" t="str">
        <f t="shared" si="4"/>
        <v>Michael-Brown-</v>
      </c>
      <c r="I4">
        <f t="shared" si="5"/>
        <v>8</v>
      </c>
      <c r="J4" t="b">
        <f t="shared" si="6"/>
        <v>0</v>
      </c>
    </row>
    <row r="5" spans="1:10" x14ac:dyDescent="0.25">
      <c r="A5" t="s">
        <v>41</v>
      </c>
      <c r="B5" t="s">
        <v>42</v>
      </c>
      <c r="C5" t="s">
        <v>43</v>
      </c>
      <c r="D5" t="str">
        <f t="shared" si="0"/>
        <v>Rach</v>
      </c>
      <c r="E5" t="str">
        <f t="shared" si="1"/>
        <v>Ma</v>
      </c>
      <c r="F5" t="str">
        <f t="shared" si="2"/>
        <v>004</v>
      </c>
      <c r="G5">
        <f t="shared" si="3"/>
        <v>12</v>
      </c>
      <c r="H5" t="str">
        <f t="shared" si="4"/>
        <v>Rachel-Green</v>
      </c>
      <c r="I5">
        <f t="shared" si="5"/>
        <v>7</v>
      </c>
      <c r="J5" t="b">
        <f t="shared" si="6"/>
        <v>0</v>
      </c>
    </row>
    <row r="6" spans="1:10" x14ac:dyDescent="0.25">
      <c r="A6" t="s">
        <v>44</v>
      </c>
      <c r="B6" t="s">
        <v>36</v>
      </c>
      <c r="C6" t="s">
        <v>45</v>
      </c>
      <c r="D6" t="str">
        <f t="shared" si="0"/>
        <v>Davi</v>
      </c>
      <c r="E6" t="str">
        <f t="shared" si="1"/>
        <v>IT</v>
      </c>
      <c r="F6" t="str">
        <f t="shared" si="2"/>
        <v>005</v>
      </c>
      <c r="G6">
        <f t="shared" si="3"/>
        <v>13</v>
      </c>
      <c r="H6" t="str">
        <f t="shared" si="4"/>
        <v>David-Miller-</v>
      </c>
      <c r="I6">
        <f t="shared" si="5"/>
        <v>6</v>
      </c>
      <c r="J6" t="b">
        <f t="shared" si="6"/>
        <v>0</v>
      </c>
    </row>
    <row r="7" spans="1:10" x14ac:dyDescent="0.25">
      <c r="A7" t="s">
        <v>46</v>
      </c>
      <c r="B7" t="s">
        <v>33</v>
      </c>
      <c r="C7" t="s">
        <v>47</v>
      </c>
      <c r="D7" t="str">
        <f t="shared" si="0"/>
        <v>Emil</v>
      </c>
      <c r="E7" t="str">
        <f t="shared" si="1"/>
        <v>HR</v>
      </c>
      <c r="F7" t="str">
        <f t="shared" si="2"/>
        <v>006</v>
      </c>
      <c r="G7">
        <f t="shared" si="3"/>
        <v>12</v>
      </c>
      <c r="H7" t="str">
        <f t="shared" si="4"/>
        <v>Emily-Davis-</v>
      </c>
      <c r="I7">
        <f t="shared" si="5"/>
        <v>6</v>
      </c>
      <c r="J7" t="b">
        <f t="shared" si="6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workbookViewId="0">
      <selection activeCell="E2" sqref="E2"/>
    </sheetView>
  </sheetViews>
  <sheetFormatPr defaultRowHeight="15" x14ac:dyDescent="0.25"/>
  <cols>
    <col min="1" max="1" width="10.140625" bestFit="1" customWidth="1"/>
    <col min="2" max="2" width="14.140625" bestFit="1" customWidth="1"/>
    <col min="3" max="3" width="11" bestFit="1" customWidth="1"/>
    <col min="9" max="9" width="10.140625" bestFit="1" customWidth="1"/>
    <col min="10" max="10" width="14.140625" bestFit="1" customWidth="1"/>
    <col min="11" max="11" width="11" bestFit="1" customWidth="1"/>
    <col min="12" max="12" width="5.42578125" bestFit="1" customWidth="1"/>
  </cols>
  <sheetData>
    <row r="1" spans="1:8" x14ac:dyDescent="0.25">
      <c r="A1" s="1" t="s">
        <v>55</v>
      </c>
      <c r="B1" s="1" t="s">
        <v>56</v>
      </c>
      <c r="C1" s="1" t="s">
        <v>25</v>
      </c>
      <c r="D1" s="1" t="s">
        <v>57</v>
      </c>
      <c r="E1" s="1" t="s">
        <v>72</v>
      </c>
      <c r="F1" s="1" t="s">
        <v>74</v>
      </c>
      <c r="G1" s="1" t="s">
        <v>75</v>
      </c>
      <c r="H1" s="1" t="s">
        <v>76</v>
      </c>
    </row>
    <row r="2" spans="1:8" x14ac:dyDescent="0.25">
      <c r="A2" t="s">
        <v>59</v>
      </c>
      <c r="B2" t="s">
        <v>64</v>
      </c>
      <c r="C2" t="s">
        <v>70</v>
      </c>
      <c r="D2">
        <v>1200</v>
      </c>
      <c r="E2">
        <f>VLOOKUP(A4,A2:D7,4,)</f>
        <v>300</v>
      </c>
      <c r="F2" t="str">
        <f>_xlfn.XLOOKUP(A3,A2:A7,B2:B7)</f>
        <v>Mouse</v>
      </c>
      <c r="G2">
        <f>COUNT(D2:D7)</f>
        <v>6</v>
      </c>
      <c r="H2">
        <f>COUNTA(B2:B7)</f>
        <v>6</v>
      </c>
    </row>
    <row r="3" spans="1:8" x14ac:dyDescent="0.25">
      <c r="A3" t="s">
        <v>58</v>
      </c>
      <c r="B3" t="s">
        <v>65</v>
      </c>
      <c r="C3" t="s">
        <v>70</v>
      </c>
      <c r="D3">
        <v>25</v>
      </c>
    </row>
    <row r="4" spans="1:8" x14ac:dyDescent="0.25">
      <c r="A4" t="s">
        <v>60</v>
      </c>
      <c r="B4" t="s">
        <v>66</v>
      </c>
      <c r="C4" t="s">
        <v>71</v>
      </c>
      <c r="D4">
        <v>300</v>
      </c>
    </row>
    <row r="5" spans="1:8" x14ac:dyDescent="0.25">
      <c r="A5" t="s">
        <v>61</v>
      </c>
      <c r="B5" t="s">
        <v>67</v>
      </c>
      <c r="C5" t="s">
        <v>71</v>
      </c>
      <c r="D5">
        <v>150</v>
      </c>
    </row>
    <row r="6" spans="1:8" x14ac:dyDescent="0.25">
      <c r="A6" t="s">
        <v>62</v>
      </c>
      <c r="B6" t="s">
        <v>68</v>
      </c>
      <c r="C6" t="s">
        <v>70</v>
      </c>
      <c r="D6">
        <v>200</v>
      </c>
    </row>
    <row r="7" spans="1:8" x14ac:dyDescent="0.25">
      <c r="A7" t="s">
        <v>63</v>
      </c>
      <c r="B7" t="s">
        <v>69</v>
      </c>
      <c r="C7" t="s">
        <v>71</v>
      </c>
      <c r="D7">
        <v>80</v>
      </c>
    </row>
    <row r="9" spans="1:8" x14ac:dyDescent="0.25">
      <c r="B9" s="1"/>
    </row>
    <row r="18" spans="9:12" x14ac:dyDescent="0.25">
      <c r="I18" s="1"/>
      <c r="J18" s="1" t="s">
        <v>56</v>
      </c>
      <c r="K18" s="1" t="s">
        <v>25</v>
      </c>
      <c r="L18" s="1" t="s">
        <v>57</v>
      </c>
    </row>
    <row r="19" spans="9:12" x14ac:dyDescent="0.25">
      <c r="I19" t="s">
        <v>59</v>
      </c>
      <c r="J19" t="s">
        <v>64</v>
      </c>
      <c r="K19" t="s">
        <v>70</v>
      </c>
      <c r="L19">
        <v>1200</v>
      </c>
    </row>
    <row r="20" spans="9:12" x14ac:dyDescent="0.25">
      <c r="I20" t="s">
        <v>58</v>
      </c>
      <c r="J20" t="s">
        <v>65</v>
      </c>
      <c r="K20" t="s">
        <v>70</v>
      </c>
      <c r="L20">
        <v>25</v>
      </c>
    </row>
    <row r="21" spans="9:12" x14ac:dyDescent="0.25">
      <c r="I21" t="s">
        <v>60</v>
      </c>
      <c r="J21" t="s">
        <v>66</v>
      </c>
      <c r="K21" t="s">
        <v>71</v>
      </c>
      <c r="L21">
        <v>300</v>
      </c>
    </row>
    <row r="22" spans="9:12" x14ac:dyDescent="0.25">
      <c r="I22" t="s">
        <v>61</v>
      </c>
      <c r="J22" t="s">
        <v>67</v>
      </c>
      <c r="K22" t="s">
        <v>71</v>
      </c>
      <c r="L22">
        <v>150</v>
      </c>
    </row>
    <row r="23" spans="9:12" x14ac:dyDescent="0.25">
      <c r="I23" t="s">
        <v>62</v>
      </c>
      <c r="J23" t="s">
        <v>68</v>
      </c>
      <c r="K23" t="s">
        <v>70</v>
      </c>
      <c r="L23">
        <v>200</v>
      </c>
    </row>
    <row r="24" spans="9:12" x14ac:dyDescent="0.25">
      <c r="I24" t="s">
        <v>63</v>
      </c>
      <c r="J24" t="s">
        <v>69</v>
      </c>
      <c r="K24" t="s">
        <v>71</v>
      </c>
      <c r="L24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activeCell="A7" sqref="A7"/>
    </sheetView>
  </sheetViews>
  <sheetFormatPr defaultRowHeight="15" x14ac:dyDescent="0.25"/>
  <cols>
    <col min="1" max="1" width="14.140625" bestFit="1" customWidth="1"/>
    <col min="2" max="3" width="11" bestFit="1" customWidth="1"/>
    <col min="6" max="6" width="11" bestFit="1" customWidth="1"/>
  </cols>
  <sheetData>
    <row r="1" spans="1:7" x14ac:dyDescent="0.25">
      <c r="A1" s="1" t="s">
        <v>55</v>
      </c>
      <c r="B1" t="s">
        <v>59</v>
      </c>
      <c r="C1" t="s">
        <v>58</v>
      </c>
      <c r="D1" t="s">
        <v>60</v>
      </c>
      <c r="E1" t="s">
        <v>61</v>
      </c>
      <c r="F1" t="s">
        <v>62</v>
      </c>
      <c r="G1" t="s">
        <v>63</v>
      </c>
    </row>
    <row r="2" spans="1:7" x14ac:dyDescent="0.25">
      <c r="A2" s="1" t="s">
        <v>56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</row>
    <row r="3" spans="1:7" x14ac:dyDescent="0.25">
      <c r="A3" s="1" t="s">
        <v>25</v>
      </c>
      <c r="B3" t="s">
        <v>70</v>
      </c>
      <c r="C3" t="s">
        <v>70</v>
      </c>
      <c r="D3" t="s">
        <v>71</v>
      </c>
      <c r="E3" t="s">
        <v>71</v>
      </c>
      <c r="F3" t="s">
        <v>70</v>
      </c>
      <c r="G3" t="s">
        <v>71</v>
      </c>
    </row>
    <row r="4" spans="1:7" x14ac:dyDescent="0.25">
      <c r="A4" s="1" t="s">
        <v>57</v>
      </c>
      <c r="B4">
        <v>1200</v>
      </c>
      <c r="C4">
        <v>25</v>
      </c>
      <c r="D4">
        <v>300</v>
      </c>
      <c r="E4">
        <v>150</v>
      </c>
      <c r="F4">
        <v>200</v>
      </c>
      <c r="G4">
        <v>80</v>
      </c>
    </row>
    <row r="6" spans="1:7" x14ac:dyDescent="0.25">
      <c r="A6" s="1" t="s">
        <v>73</v>
      </c>
      <c r="B6" t="str">
        <f>HLOOKUP(F1,A1:G4,2,)</f>
        <v>Monitor</v>
      </c>
    </row>
    <row r="7" spans="1:7" x14ac:dyDescent="0.25">
      <c r="A7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workbookViewId="0">
      <selection activeCell="I2" sqref="I2"/>
    </sheetView>
  </sheetViews>
  <sheetFormatPr defaultRowHeight="15" x14ac:dyDescent="0.25"/>
  <cols>
    <col min="2" max="4" width="10.42578125" bestFit="1" customWidth="1"/>
    <col min="5" max="5" width="15.5703125" bestFit="1" customWidth="1"/>
    <col min="8" max="9" width="13.140625" bestFit="1" customWidth="1"/>
  </cols>
  <sheetData>
    <row r="1" spans="1:9" x14ac:dyDescent="0.25">
      <c r="A1" s="1" t="s">
        <v>77</v>
      </c>
      <c r="B1" s="1" t="s">
        <v>78</v>
      </c>
      <c r="C1" s="1" t="s">
        <v>79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</row>
    <row r="2" spans="1:9" x14ac:dyDescent="0.25">
      <c r="A2" t="s">
        <v>80</v>
      </c>
      <c r="B2" s="2">
        <v>45047</v>
      </c>
      <c r="C2" s="2">
        <v>45230</v>
      </c>
      <c r="D2" s="2">
        <f ca="1">TODAY()</f>
        <v>46032</v>
      </c>
      <c r="E2" s="3">
        <f ca="1">NOW()</f>
        <v>46032.285408680553</v>
      </c>
      <c r="F2">
        <f>YEAR(B2:B6)</f>
        <v>2023</v>
      </c>
      <c r="G2">
        <f>MONTH(C2:C6)</f>
        <v>10</v>
      </c>
      <c r="H2">
        <f>NETWORKDAYS(B2,C2)</f>
        <v>132</v>
      </c>
      <c r="I2">
        <f>EOMONTH(B2,2)</f>
        <v>45138</v>
      </c>
    </row>
    <row r="3" spans="1:9" x14ac:dyDescent="0.25">
      <c r="A3" t="s">
        <v>81</v>
      </c>
      <c r="B3" s="2">
        <v>45122</v>
      </c>
      <c r="C3" s="2">
        <v>45280</v>
      </c>
      <c r="F3">
        <f t="shared" ref="F3:F6" si="0">YEAR(B3:B7)</f>
        <v>2023</v>
      </c>
      <c r="G3">
        <f t="shared" ref="G3:G6" si="1">MONTH(C3:C7)</f>
        <v>12</v>
      </c>
      <c r="H3">
        <f t="shared" ref="H3:H6" si="2">NETWORKDAYS(B3,C3)</f>
        <v>113</v>
      </c>
      <c r="I3">
        <f t="shared" ref="I3:I6" si="3">EOMONTH(B3,2)</f>
        <v>45199</v>
      </c>
    </row>
    <row r="4" spans="1:9" x14ac:dyDescent="0.25">
      <c r="A4" t="s">
        <v>82</v>
      </c>
      <c r="B4" s="2">
        <v>45148</v>
      </c>
      <c r="C4" s="2">
        <v>45194</v>
      </c>
      <c r="F4">
        <f t="shared" si="0"/>
        <v>2023</v>
      </c>
      <c r="G4">
        <f t="shared" si="1"/>
        <v>9</v>
      </c>
      <c r="H4">
        <f t="shared" si="2"/>
        <v>33</v>
      </c>
      <c r="I4">
        <f t="shared" si="3"/>
        <v>45230</v>
      </c>
    </row>
    <row r="5" spans="1:9" x14ac:dyDescent="0.25">
      <c r="A5" t="s">
        <v>83</v>
      </c>
      <c r="B5" s="2">
        <v>45170</v>
      </c>
      <c r="C5" s="2">
        <v>45260</v>
      </c>
      <c r="F5">
        <f t="shared" si="0"/>
        <v>2023</v>
      </c>
      <c r="G5">
        <f t="shared" si="1"/>
        <v>11</v>
      </c>
      <c r="H5">
        <f t="shared" si="2"/>
        <v>65</v>
      </c>
      <c r="I5">
        <f t="shared" si="3"/>
        <v>45260</v>
      </c>
    </row>
    <row r="6" spans="1:9" x14ac:dyDescent="0.25">
      <c r="A6" t="s">
        <v>84</v>
      </c>
      <c r="B6" s="2">
        <v>45296</v>
      </c>
      <c r="C6" s="2">
        <v>45350</v>
      </c>
      <c r="F6">
        <f t="shared" si="0"/>
        <v>2024</v>
      </c>
      <c r="G6">
        <f t="shared" si="1"/>
        <v>2</v>
      </c>
      <c r="H6">
        <f t="shared" si="2"/>
        <v>39</v>
      </c>
      <c r="I6">
        <f t="shared" si="3"/>
        <v>45382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"/>
  <sheetViews>
    <sheetView workbookViewId="0">
      <selection activeCell="K7" sqref="K7"/>
    </sheetView>
  </sheetViews>
  <sheetFormatPr defaultRowHeight="15" x14ac:dyDescent="0.25"/>
  <cols>
    <col min="1" max="1" width="10.140625" bestFit="1" customWidth="1"/>
    <col min="2" max="2" width="13.7109375" bestFit="1" customWidth="1"/>
  </cols>
  <sheetData>
    <row r="1" spans="1:11" x14ac:dyDescent="0.25">
      <c r="A1" s="1" t="s">
        <v>55</v>
      </c>
      <c r="B1" s="1" t="s">
        <v>91</v>
      </c>
      <c r="C1" s="1" t="s">
        <v>92</v>
      </c>
      <c r="D1" s="1" t="s">
        <v>93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</row>
    <row r="2" spans="1:11" x14ac:dyDescent="0.25">
      <c r="A2" t="s">
        <v>59</v>
      </c>
      <c r="B2" t="s">
        <v>64</v>
      </c>
      <c r="C2">
        <v>1200</v>
      </c>
      <c r="D2">
        <v>300</v>
      </c>
      <c r="E2">
        <f ca="1">OFFSET(C2,2,0)</f>
        <v>1500</v>
      </c>
      <c r="F2">
        <f>CHOOSE(1,C2:C7,D2:D7)</f>
        <v>1200</v>
      </c>
      <c r="G2">
        <f>_xlfn.LET(_xlpm.x,C2:C7,MAX(_xlpm.x))</f>
        <v>1500</v>
      </c>
      <c r="H2">
        <f>MAX(C2:C7)</f>
        <v>1500</v>
      </c>
      <c r="I2" cm="1">
        <f t="array" ref="I2:I7">_xlfn._xlws.SORT(C2:C7,1,1)</f>
        <v>500</v>
      </c>
      <c r="J2" cm="1">
        <f t="array" ref="J2:J7">_xlfn.SORTBY(C2:C7,D2:D7,1)</f>
        <v>800</v>
      </c>
      <c r="K2">
        <f>RANK(C2,C2:C7,1)</f>
        <v>4</v>
      </c>
    </row>
    <row r="3" spans="1:11" x14ac:dyDescent="0.25">
      <c r="A3" t="s">
        <v>58</v>
      </c>
      <c r="B3" t="s">
        <v>94</v>
      </c>
      <c r="C3">
        <v>800</v>
      </c>
      <c r="D3">
        <v>50</v>
      </c>
      <c r="I3">
        <v>800</v>
      </c>
      <c r="J3">
        <v>500</v>
      </c>
      <c r="K3">
        <f>RANK(C3,C2:C7,1)</f>
        <v>2</v>
      </c>
    </row>
    <row r="4" spans="1:11" x14ac:dyDescent="0.25">
      <c r="A4" t="s">
        <v>60</v>
      </c>
      <c r="B4" t="s">
        <v>95</v>
      </c>
      <c r="C4">
        <v>1500</v>
      </c>
      <c r="D4">
        <v>200</v>
      </c>
      <c r="I4">
        <v>1000</v>
      </c>
      <c r="J4">
        <v>1000</v>
      </c>
      <c r="K4">
        <f>RANK(C4,C2:C7,1)</f>
        <v>6</v>
      </c>
    </row>
    <row r="5" spans="1:11" x14ac:dyDescent="0.25">
      <c r="A5" t="s">
        <v>61</v>
      </c>
      <c r="B5" t="s">
        <v>66</v>
      </c>
      <c r="C5">
        <v>1000</v>
      </c>
      <c r="D5">
        <v>150</v>
      </c>
      <c r="I5">
        <v>1200</v>
      </c>
      <c r="J5">
        <v>1300</v>
      </c>
      <c r="K5">
        <f>RANK(C5,C2:C7,1)</f>
        <v>3</v>
      </c>
    </row>
    <row r="6" spans="1:11" x14ac:dyDescent="0.25">
      <c r="A6" t="s">
        <v>62</v>
      </c>
      <c r="B6" t="s">
        <v>67</v>
      </c>
      <c r="C6">
        <v>500</v>
      </c>
      <c r="D6">
        <v>100</v>
      </c>
      <c r="I6">
        <v>1300</v>
      </c>
      <c r="J6">
        <v>1500</v>
      </c>
      <c r="K6">
        <f>RANK(C6,C1:C6,1)</f>
        <v>1</v>
      </c>
    </row>
    <row r="7" spans="1:11" x14ac:dyDescent="0.25">
      <c r="A7" t="s">
        <v>63</v>
      </c>
      <c r="B7" t="s">
        <v>96</v>
      </c>
      <c r="C7">
        <v>1300</v>
      </c>
      <c r="D7">
        <v>180</v>
      </c>
      <c r="I7">
        <v>1500</v>
      </c>
      <c r="J7">
        <v>1200</v>
      </c>
      <c r="K7">
        <f>RANK(C7,C2:C7,1)</f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3A1F-6C94-4865-B54B-92D5B63E4D89}">
  <dimension ref="A1:J12"/>
  <sheetViews>
    <sheetView tabSelected="1" workbookViewId="0">
      <selection activeCell="J8" sqref="J8"/>
    </sheetView>
  </sheetViews>
  <sheetFormatPr defaultRowHeight="15" x14ac:dyDescent="0.25"/>
  <sheetData>
    <row r="1" spans="1:10" x14ac:dyDescent="0.25">
      <c r="A1" t="s">
        <v>104</v>
      </c>
      <c r="B1">
        <v>500</v>
      </c>
      <c r="I1" t="s">
        <v>105</v>
      </c>
      <c r="J1">
        <v>50</v>
      </c>
    </row>
    <row r="2" spans="1:10" x14ac:dyDescent="0.25">
      <c r="A2" t="s">
        <v>105</v>
      </c>
      <c r="B2">
        <v>5</v>
      </c>
      <c r="I2" t="s">
        <v>108</v>
      </c>
      <c r="J2">
        <v>25.8</v>
      </c>
    </row>
    <row r="3" spans="1:10" x14ac:dyDescent="0.25">
      <c r="A3" t="s">
        <v>106</v>
      </c>
      <c r="B3" s="4">
        <v>0.6</v>
      </c>
      <c r="I3" t="s">
        <v>109</v>
      </c>
      <c r="J3">
        <f>J1*J2</f>
        <v>1290</v>
      </c>
    </row>
    <row r="4" spans="1:10" x14ac:dyDescent="0.25">
      <c r="A4" t="s">
        <v>107</v>
      </c>
      <c r="B4">
        <f>B1*B2*B3</f>
        <v>1500</v>
      </c>
    </row>
    <row r="5" spans="1:10" x14ac:dyDescent="0.25">
      <c r="C5">
        <f>B1*B2*B3</f>
        <v>1500</v>
      </c>
      <c r="D5">
        <v>300</v>
      </c>
      <c r="E5">
        <v>400</v>
      </c>
      <c r="F5">
        <v>500</v>
      </c>
      <c r="G5">
        <v>600</v>
      </c>
    </row>
    <row r="6" spans="1:10" x14ac:dyDescent="0.25">
      <c r="C6">
        <v>3</v>
      </c>
      <c r="D6">
        <f t="dataTable" ref="D6:G12" dt2D="1" dtr="1" r1="B1" r2="B2"/>
        <v>540</v>
      </c>
      <c r="E6">
        <v>720</v>
      </c>
      <c r="F6">
        <v>900</v>
      </c>
      <c r="G6">
        <v>1080</v>
      </c>
    </row>
    <row r="7" spans="1:10" x14ac:dyDescent="0.25">
      <c r="C7">
        <v>4</v>
      </c>
      <c r="D7">
        <v>720</v>
      </c>
      <c r="E7">
        <v>960</v>
      </c>
      <c r="F7">
        <v>1200</v>
      </c>
      <c r="G7">
        <v>1440</v>
      </c>
      <c r="I7" t="s">
        <v>110</v>
      </c>
      <c r="J7">
        <v>500000</v>
      </c>
    </row>
    <row r="8" spans="1:10" x14ac:dyDescent="0.25">
      <c r="C8">
        <v>5</v>
      </c>
      <c r="D8">
        <v>900</v>
      </c>
      <c r="E8">
        <v>1200</v>
      </c>
      <c r="F8">
        <v>1500</v>
      </c>
      <c r="G8">
        <v>1800</v>
      </c>
      <c r="I8" t="s">
        <v>111</v>
      </c>
      <c r="J8" s="4">
        <v>0.2</v>
      </c>
    </row>
    <row r="9" spans="1:10" x14ac:dyDescent="0.25">
      <c r="C9">
        <v>6</v>
      </c>
      <c r="D9">
        <v>1080</v>
      </c>
      <c r="E9">
        <v>1440</v>
      </c>
      <c r="F9">
        <v>1800</v>
      </c>
      <c r="G9">
        <v>2160</v>
      </c>
      <c r="I9" t="s">
        <v>112</v>
      </c>
      <c r="J9">
        <v>3</v>
      </c>
    </row>
    <row r="10" spans="1:10" x14ac:dyDescent="0.25">
      <c r="C10">
        <v>7</v>
      </c>
      <c r="D10">
        <v>1260</v>
      </c>
      <c r="E10">
        <v>1680</v>
      </c>
      <c r="F10">
        <v>2100</v>
      </c>
      <c r="G10">
        <v>2520</v>
      </c>
      <c r="I10" t="s">
        <v>113</v>
      </c>
      <c r="J10">
        <f>(J7*J8*J9)/100</f>
        <v>3000</v>
      </c>
    </row>
    <row r="11" spans="1:10" x14ac:dyDescent="0.25">
      <c r="C11">
        <v>8</v>
      </c>
      <c r="D11">
        <v>1440</v>
      </c>
      <c r="E11">
        <v>1920</v>
      </c>
      <c r="F11">
        <v>2400</v>
      </c>
      <c r="G11">
        <v>2880</v>
      </c>
    </row>
    <row r="12" spans="1:10" x14ac:dyDescent="0.25">
      <c r="C12">
        <v>9</v>
      </c>
      <c r="D12">
        <v>1620</v>
      </c>
      <c r="E12">
        <v>2160</v>
      </c>
      <c r="F12">
        <v>2700</v>
      </c>
      <c r="G12">
        <v>3240</v>
      </c>
    </row>
  </sheetData>
  <scenarios current="1" show="1">
    <scenario name="12" locked="1" count="1" user="GAMER.exe" comment="Created by GAMER.exe on 1/10/2026">
      <inputCells r="J8" val="0.12" numFmtId="9"/>
    </scenario>
    <scenario name="20" locked="1" count="1" user="GAMER.exe" comment="Created by GAMER.exe on 1/10/2026">
      <inputCells r="J8" val="0.2" numFmtId="9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Leslie Hernandez</cp:lastModifiedBy>
  <dcterms:created xsi:type="dcterms:W3CDTF">2025-08-10T22:44:26Z</dcterms:created>
  <dcterms:modified xsi:type="dcterms:W3CDTF">2026-01-10T01:21:52Z</dcterms:modified>
</cp:coreProperties>
</file>